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" sheetId="1" state="visible" r:id="rId3"/>
    <sheet name="feedbacks" sheetId="2" state="visible" r:id="rId4"/>
    <sheet name="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<sst xmlns="http://schemas.openxmlformats.org/spreadsheetml/2006/main" count="98" uniqueCount="72">
  <si>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</si>
  <si>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</si>
  <si>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</si>
  <si>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</si>
  <si>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</si>
  <si>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</si>
  <si>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</si>
  <si>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</si>
  <si>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</si>
  <si>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</si>
  <si>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</si>
  <si>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</si>
  <si>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</si>
  <si>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</si>
  <si>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cms-xq1-234</t>
  </si>
  <si>
    <t xml:space="preserve">bnt-klo-123</t>
  </si>
  <si>
    <t xml:space="preserve">2021-08-21 09:00:00</t>
  </si>
  <si>
    <t xml:space="preserve">2021-08-21 09:55:00</t>
  </si>
  <si>
    <t xml:space="preserve">cms-ab2-345</t>
  </si>
  <si>
    <t xml:space="preserve">cvd-mno-456</t>
  </si>
  <si>
    <t xml:space="preserve">2021-08-22 14:30:00</t>
  </si>
  <si>
    <t xml:space="preserve">2021-08-23 10:00:00</t>
  </si>
  <si>
    <t xml:space="preserve">out-rt3-789</t>
  </si>
  <si>
    <t xml:space="preserve">cms-cd3-456</t>
  </si>
  <si>
    <t xml:space="preserve">fgh-pqr-789</t>
  </si>
  <si>
    <t xml:space="preserve">2021-09-01 08:00:00</t>
  </si>
  <si>
    <t xml:space="preserve">2021-09-01 08:45:00</t>
  </si>
  <si>
    <t xml:space="preserve">cms-ef4-567</t>
  </si>
  <si>
    <t xml:space="preserve">ijk-stu-012</t>
  </si>
  <si>
    <t xml:space="preserve">2021-09-02 10:30:00</t>
  </si>
  <si>
    <t xml:space="preserve">2021-09-03 11:00:00</t>
  </si>
  <si>
    <t xml:space="preserve">cms-gh5-678</t>
  </si>
  <si>
    <t xml:space="preserve">lmn-vwx-345</t>
  </si>
  <si>
    <t xml:space="preserve">2021-09-02 15:00:00</t>
  </si>
  <si>
    <t xml:space="preserve">2021-09-02 15:50:00</t>
  </si>
  <si>
    <t xml:space="preserve">cms-ij6-789</t>
  </si>
  <si>
    <t xml:space="preserve">opq-yza-678</t>
  </si>
  <si>
    <t xml:space="preserve">2021-09-03 07:30:00</t>
  </si>
  <si>
    <t xml:space="preserve">2021-09-03 08:20:00</t>
  </si>
  <si>
    <t xml:space="preserve">cms-kl7-890</t>
  </si>
  <si>
    <t xml:space="preserve">rst-bcd-901</t>
  </si>
  <si>
    <t xml:space="preserve">2021-09-05 12:00:00</t>
  </si>
  <si>
    <t xml:space="preserve">2021-09-06 09:00:00</t>
  </si>
  <si>
    <t xml:space="preserve">cms-mn8-901</t>
  </si>
  <si>
    <t xml:space="preserve">uvw-efg-234</t>
  </si>
  <si>
    <t xml:space="preserve">2021-09-05 16:00:00</t>
  </si>
  <si>
    <t xml:space="preserve">2021-09-05 16:55:00</t>
  </si>
  <si>
    <t xml:space="preserve">cms-op9-012</t>
  </si>
  <si>
    <t xml:space="preserve">feedback_at</t>
  </si>
  <si>
    <t xml:space="preserve">feedback_rating</t>
  </si>
  <si>
    <t xml:space="preserve">ticket_created_at</t>
  </si>
  <si>
    <t xml:space="preserve">2021-08-21 13:26:48</t>
  </si>
  <si>
    <t xml:space="preserve">2021-08-22 08:00:00</t>
  </si>
  <si>
    <t xml:space="preserve">2021-08-21 10:30:00</t>
  </si>
  <si>
    <t xml:space="preserve">2021-08-23 11:00:00</t>
  </si>
  <si>
    <t xml:space="preserve">2021-09-01 09:00:00</t>
  </si>
  <si>
    <t xml:space="preserve">2021-09-03 12:00:00</t>
  </si>
  <si>
    <t xml:space="preserve">2021-09-02 16:30:00</t>
  </si>
  <si>
    <t xml:space="preserve">2021-09-03 09:00:00</t>
  </si>
  <si>
    <t xml:space="preserve">2021-09-06 10:00:00</t>
  </si>
  <si>
    <t xml:space="preserve">2021-09-05 17:30:00</t>
  </si>
  <si>
    <t xml:space="preserve">Ticket Analysis – Same Day &amp; Same Hour Counts</t>
  </si>
  <si>
    <t xml:space="preserve">created_date</t>
  </si>
  <si>
    <t xml:space="preserve">closed_date</t>
  </si>
  <si>
    <t xml:space="preserve">same_day?</t>
  </si>
  <si>
    <t xml:space="preserve">created_hour</t>
  </si>
  <si>
    <t xml:space="preserve">closed_hour</t>
  </si>
  <si>
    <t xml:space="preserve">same_hour?</t>
  </si>
  <si>
    <t xml:space="preserve">Outlet-wise Summary</t>
  </si>
  <si>
    <t xml:space="preserve">Tickets Same Day</t>
  </si>
  <si>
    <t xml:space="preserve">Tickets Same Hour</t>
  </si>
  <si>
    <t xml:space="preserve">NOTES: Column E &amp; F use INT() to extract the date portion from a datetime. Column G checks if created and closed dates are the same. Columns H &amp; I use HOUR() to extract the hour. Column J checks if both the same day AND same hour. Summary counts use COUNTIFS matching outlet_id and the Yes/No helper columns.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</si>
</sst>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2F5496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23"/>
    <col collapsed="false" customWidth="true" hidden="false" outlineLevel="0" max="4" min="4" style="0" width="16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13</v>
      </c>
      <c r="E6" s="2" t="s">
        <v>27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30</v>
      </c>
      <c r="D7" s="2" t="s">
        <v>8</v>
      </c>
      <c r="E7" s="2" t="s">
        <v>31</v>
      </c>
    </row>
    <row r="8" customFormat="false" ht="15" hidden="false" customHeight="false" outlineLevel="0" collapsed="false">
      <c r="A8" s="2" t="s">
        <v>32</v>
      </c>
      <c r="B8" s="2" t="s">
        <v>33</v>
      </c>
      <c r="C8" s="2" t="s">
        <v>34</v>
      </c>
      <c r="D8" s="2" t="s">
        <v>22</v>
      </c>
      <c r="E8" s="2" t="s">
        <v>35</v>
      </c>
    </row>
    <row r="9" customFormat="false" ht="15" hidden="false" customHeight="false" outlineLevel="0" collapsed="false">
      <c r="A9" s="2" t="s">
        <v>36</v>
      </c>
      <c r="B9" s="2" t="s">
        <v>37</v>
      </c>
      <c r="C9" s="2" t="s">
        <v>38</v>
      </c>
      <c r="D9" s="2" t="s">
        <v>8</v>
      </c>
      <c r="E9" s="2" t="s">
        <v>39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42</v>
      </c>
      <c r="D10" s="2" t="s">
        <v>13</v>
      </c>
      <c r="E10" s="2" t="s">
        <v>43</v>
      </c>
    </row>
    <row r="11" customFormat="false" ht="15" hidden="false" customHeight="false" outlineLevel="0" collapsed="false">
      <c r="A11" s="2" t="s">
        <v>44</v>
      </c>
      <c r="B11" s="2" t="s">
        <v>45</v>
      </c>
      <c r="C11" s="2" t="s">
        <v>46</v>
      </c>
      <c r="D11" s="2" t="s">
        <v>22</v>
      </c>
      <c r="E11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9"/>
    <col collapsed="false" customWidth="true" hidden="false" outlineLevel="0" max="4" min="4" style="0" width="59"/>
  </cols>
  <sheetData>
    <row r="1" customFormat="false" ht="15" hidden="false" customHeight="false" outlineLevel="0" collapsed="false">
      <c r="A1" s="1" t="s">
        <v>4</v>
      </c>
      <c r="B1" s="1" t="s">
        <v>48</v>
      </c>
      <c r="C1" s="1" t="s">
        <v>49</v>
      </c>
      <c r="D1" s="1" t="s">
        <v>50</v>
      </c>
    </row>
    <row r="2" customFormat="false" ht="15" hidden="false" customHeight="false" outlineLevel="0" collapsed="false">
      <c r="A2" s="2" t="s">
        <v>9</v>
      </c>
      <c r="B2" s="2" t="s">
        <v>51</v>
      </c>
      <c r="C2" s="2" t="n">
        <v>3</v>
      </c>
      <c r="D2" s="3" t="str">
        <f aca="false">IFERROR(VLOOKUP(A2,ticket!$A:$E,2,FALSE()),"Not Found")</f>
        <v>Not Found</v>
      </c>
    </row>
    <row r="3" customFormat="false" ht="15" hidden="false" customHeight="false" outlineLevel="0" collapsed="false">
      <c r="A3" s="2" t="s">
        <v>14</v>
      </c>
      <c r="B3" s="2" t="s">
        <v>52</v>
      </c>
      <c r="C3" s="2" t="n">
        <v>4</v>
      </c>
      <c r="D3" s="3" t="str">
        <f aca="false">IFERROR(VLOOKUP(A3,ticket!$A:$E,2,FALSE()),"Not Found")</f>
        <v>Not Found</v>
      </c>
    </row>
    <row r="4" customFormat="false" ht="15" hidden="false" customHeight="false" outlineLevel="0" collapsed="false">
      <c r="A4" s="2" t="s">
        <v>18</v>
      </c>
      <c r="B4" s="2" t="s">
        <v>53</v>
      </c>
      <c r="C4" s="2" t="n">
        <v>5</v>
      </c>
      <c r="D4" s="3" t="str">
        <f aca="false">IFERROR(VLOOKUP(A4,ticket!$A:$E,2,FALSE()),"Not Found")</f>
        <v>Not Found</v>
      </c>
    </row>
    <row r="5" customFormat="false" ht="15" hidden="false" customHeight="false" outlineLevel="0" collapsed="false">
      <c r="A5" s="2" t="s">
        <v>23</v>
      </c>
      <c r="B5" s="2" t="s">
        <v>54</v>
      </c>
      <c r="C5" s="2" t="n">
        <v>2</v>
      </c>
      <c r="D5" s="3" t="str">
        <f aca="false">IFERROR(VLOOKUP(A5,ticket!$A:$E,2,FALSE()),"Not Found")</f>
        <v>Not Found</v>
      </c>
    </row>
    <row r="6" customFormat="false" ht="15" hidden="false" customHeight="false" outlineLevel="0" collapsed="false">
      <c r="A6" s="2" t="s">
        <v>27</v>
      </c>
      <c r="B6" s="2" t="s">
        <v>55</v>
      </c>
      <c r="C6" s="2" t="n">
        <v>4</v>
      </c>
      <c r="D6" s="3" t="str">
        <f aca="false">IFERROR(VLOOKUP(A6,ticket!$A:$E,2,FALSE()),"Not Found")</f>
        <v>Not Found</v>
      </c>
    </row>
    <row r="7" customFormat="false" ht="15" hidden="false" customHeight="false" outlineLevel="0" collapsed="false">
      <c r="A7" s="2" t="s">
        <v>31</v>
      </c>
      <c r="B7" s="2" t="s">
        <v>56</v>
      </c>
      <c r="C7" s="2" t="n">
        <v>3</v>
      </c>
      <c r="D7" s="3" t="str">
        <f aca="false">IFERROR(VLOOKUP(A7,ticket!$A:$E,2,FALSE()),"Not Found")</f>
        <v>Not Found</v>
      </c>
    </row>
    <row r="8" customFormat="false" ht="15" hidden="false" customHeight="false" outlineLevel="0" collapsed="false">
      <c r="A8" s="2" t="s">
        <v>35</v>
      </c>
      <c r="B8" s="2" t="s">
        <v>57</v>
      </c>
      <c r="C8" s="2" t="n">
        <v>5</v>
      </c>
      <c r="D8" s="3" t="str">
        <f aca="false">IFERROR(VLOOKUP(A8,ticket!$A:$E,2,FALSE()),"Not Found")</f>
        <v>Not Found</v>
      </c>
    </row>
    <row r="9" customFormat="false" ht="15" hidden="false" customHeight="false" outlineLevel="0" collapsed="false">
      <c r="A9" s="2" t="s">
        <v>39</v>
      </c>
      <c r="B9" s="2" t="s">
        <v>58</v>
      </c>
      <c r="C9" s="2" t="n">
        <v>4</v>
      </c>
      <c r="D9" s="3" t="str">
        <f aca="false">IFERROR(VLOOKUP(A9,ticket!$A:$E,2,FALSE()),"Not Found")</f>
        <v>Not Found</v>
      </c>
    </row>
    <row r="10" customFormat="false" ht="15" hidden="false" customHeight="false" outlineLevel="0" collapsed="false">
      <c r="A10" s="2" t="s">
        <v>43</v>
      </c>
      <c r="B10" s="2" t="s">
        <v>59</v>
      </c>
      <c r="C10" s="2" t="n">
        <v>1</v>
      </c>
      <c r="D10" s="3" t="str">
        <f aca="false">IFERROR(VLOOKUP(A10,ticket!$A:$E,2,FALSE()),"Not Found")</f>
        <v>Not Found</v>
      </c>
    </row>
    <row r="11" customFormat="false" ht="15" hidden="false" customHeight="false" outlineLevel="0" collapsed="false">
      <c r="A11" s="2" t="s">
        <v>47</v>
      </c>
      <c r="B11" s="2" t="s">
        <v>60</v>
      </c>
      <c r="C11" s="2" t="n">
        <v>5</v>
      </c>
      <c r="D11" s="3" t="str">
        <f aca="false">IFERROR(VLOOKUP(A11,ticket!$A:$E,2,FALSE()),"Not Found")</f>
        <v>Not Found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2"/>
    <col collapsed="false" customWidth="true" hidden="false" outlineLevel="0" max="3" min="2" style="0" width="4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27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40"/>
  </cols>
  <sheetData>
    <row r="1" customFormat="false" ht="16.15" hidden="false" customHeight="false" outlineLevel="0" collapsed="false">
      <c r="A1" s="4" t="s">
        <v>61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</row>
    <row r="4" customFormat="false" ht="15" hidden="false" customHeight="false" outlineLevel="0" collapsed="false">
      <c r="A4" s="5" t="str">
        <f aca="false">ticket!A2</f>
        <v>isu-sjd-457</v>
      </c>
      <c r="B4" s="5" t="str">
        <f aca="false">ticket!B2</f>
        <v>2021-08-19 16:45:43</v>
      </c>
      <c r="C4" s="5" t="str">
        <f aca="false">ticket!C2</f>
        <v>2021-08-22 12:33:32</v>
      </c>
      <c r="D4" s="5" t="str">
        <f aca="false">ticket!D2</f>
        <v>wrqy-juv-978</v>
      </c>
      <c r="E4" s="5" t="n">
        <f aca="false">INT(B4)</f>
        <v>44427</v>
      </c>
      <c r="F4" s="5" t="n">
        <f aca="false">INT(C4)</f>
        <v>44430</v>
      </c>
      <c r="G4" s="6" t="str">
        <f aca="false">IF(E4=F4,"Yes","No")</f>
        <v>No</v>
      </c>
      <c r="H4" s="5" t="n">
        <f aca="false">HOUR(B4)</f>
        <v>16</v>
      </c>
      <c r="I4" s="5" t="n">
        <f aca="false">HOUR(C4)</f>
        <v>12</v>
      </c>
      <c r="J4" s="6" t="str">
        <f aca="false">IF(AND(E4=F4,H4=I4),"Yes","No")</f>
        <v>No</v>
      </c>
    </row>
    <row r="5" customFormat="false" ht="15" hidden="false" customHeight="false" outlineLevel="0" collapsed="false">
      <c r="A5" s="5" t="str">
        <f aca="false">ticket!A3</f>
        <v>qer-fal-092</v>
      </c>
      <c r="B5" s="5" t="str">
        <f aca="false">ticket!B3</f>
        <v>2021-08-21 11:09:22</v>
      </c>
      <c r="C5" s="5" t="str">
        <f aca="false">ticket!C3</f>
        <v>2021-08-21 17:13:45</v>
      </c>
      <c r="D5" s="5" t="str">
        <f aca="false">ticket!D3</f>
        <v>8woh-k3u-23b</v>
      </c>
      <c r="E5" s="5" t="n">
        <f aca="false">INT(B5)</f>
        <v>44429</v>
      </c>
      <c r="F5" s="5" t="n">
        <f aca="false">INT(C5)</f>
        <v>44429</v>
      </c>
      <c r="G5" s="6" t="str">
        <f aca="false">IF(E5=F5,"Yes","No")</f>
        <v>Yes</v>
      </c>
      <c r="H5" s="5" t="n">
        <f aca="false">HOUR(B5)</f>
        <v>11</v>
      </c>
      <c r="I5" s="5" t="n">
        <f aca="false">HOUR(C5)</f>
        <v>17</v>
      </c>
      <c r="J5" s="6" t="str">
        <f aca="false">IF(AND(E5=F5,H5=I5),"Yes","No")</f>
        <v>No</v>
      </c>
    </row>
    <row r="6" customFormat="false" ht="15" hidden="false" customHeight="false" outlineLevel="0" collapsed="false">
      <c r="A6" s="5" t="str">
        <f aca="false">ticket!A4</f>
        <v>bnt-klo-123</v>
      </c>
      <c r="B6" s="5" t="str">
        <f aca="false">ticket!B4</f>
        <v>2021-08-21 09:00:00</v>
      </c>
      <c r="C6" s="5" t="str">
        <f aca="false">ticket!C4</f>
        <v>2021-08-21 09:55:00</v>
      </c>
      <c r="D6" s="5" t="str">
        <f aca="false">ticket!D4</f>
        <v>wrqy-juv-978</v>
      </c>
      <c r="E6" s="5" t="n">
        <f aca="false">INT(B6)</f>
        <v>44429</v>
      </c>
      <c r="F6" s="5" t="n">
        <f aca="false">INT(C6)</f>
        <v>44429</v>
      </c>
      <c r="G6" s="6" t="str">
        <f aca="false">IF(E6=F6,"Yes","No")</f>
        <v>Yes</v>
      </c>
      <c r="H6" s="5" t="n">
        <f aca="false">HOUR(B6)</f>
        <v>9</v>
      </c>
      <c r="I6" s="5" t="n">
        <f aca="false">HOUR(C6)</f>
        <v>9</v>
      </c>
      <c r="J6" s="6" t="str">
        <f aca="false">IF(AND(E6=F6,H6=I6),"Yes","No")</f>
        <v>Yes</v>
      </c>
    </row>
    <row r="7" customFormat="false" ht="15" hidden="false" customHeight="false" outlineLevel="0" collapsed="false">
      <c r="A7" s="5" t="str">
        <f aca="false">ticket!A5</f>
        <v>cvd-mno-456</v>
      </c>
      <c r="B7" s="5" t="str">
        <f aca="false">ticket!B5</f>
        <v>2021-08-22 14:30:00</v>
      </c>
      <c r="C7" s="5" t="str">
        <f aca="false">ticket!C5</f>
        <v>2021-08-23 10:00:00</v>
      </c>
      <c r="D7" s="5" t="str">
        <f aca="false">ticket!D5</f>
        <v>out-rt3-789</v>
      </c>
      <c r="E7" s="5" t="n">
        <f aca="false">INT(B7)</f>
        <v>44430</v>
      </c>
      <c r="F7" s="5" t="n">
        <f aca="false">INT(C7)</f>
        <v>44431</v>
      </c>
      <c r="G7" s="6" t="str">
        <f aca="false">IF(E7=F7,"Yes","No")</f>
        <v>No</v>
      </c>
      <c r="H7" s="5" t="n">
        <f aca="false">HOUR(B7)</f>
        <v>14</v>
      </c>
      <c r="I7" s="5" t="n">
        <f aca="false">HOUR(C7)</f>
        <v>10</v>
      </c>
      <c r="J7" s="6" t="str">
        <f aca="false">IF(AND(E7=F7,H7=I7),"Yes","No")</f>
        <v>No</v>
      </c>
    </row>
    <row r="8" customFormat="false" ht="15" hidden="false" customHeight="false" outlineLevel="0" collapsed="false">
      <c r="A8" s="5" t="str">
        <f aca="false">ticket!A6</f>
        <v>fgh-pqr-789</v>
      </c>
      <c r="B8" s="5" t="str">
        <f aca="false">ticket!B6</f>
        <v>2021-09-01 08:00:00</v>
      </c>
      <c r="C8" s="5" t="str">
        <f aca="false">ticket!C6</f>
        <v>2021-09-01 08:45:00</v>
      </c>
      <c r="D8" s="5" t="str">
        <f aca="false">ticket!D6</f>
        <v>8woh-k3u-23b</v>
      </c>
      <c r="E8" s="5" t="n">
        <f aca="false">INT(B8)</f>
        <v>44440</v>
      </c>
      <c r="F8" s="5" t="n">
        <f aca="false">INT(C8)</f>
        <v>44440</v>
      </c>
      <c r="G8" s="6" t="str">
        <f aca="false">IF(E8=F8,"Yes","No")</f>
        <v>Yes</v>
      </c>
      <c r="H8" s="5" t="n">
        <f aca="false">HOUR(B8)</f>
        <v>8</v>
      </c>
      <c r="I8" s="5" t="n">
        <f aca="false">HOUR(C8)</f>
        <v>8</v>
      </c>
      <c r="J8" s="6" t="str">
        <f aca="false">IF(AND(E8=F8,H8=I8),"Yes","No")</f>
        <v>Yes</v>
      </c>
    </row>
    <row r="9" customFormat="false" ht="15" hidden="false" customHeight="false" outlineLevel="0" collapsed="false">
      <c r="A9" s="5" t="str">
        <f aca="false">ticket!A7</f>
        <v>ijk-stu-012</v>
      </c>
      <c r="B9" s="5" t="str">
        <f aca="false">ticket!B7</f>
        <v>2021-09-02 10:30:00</v>
      </c>
      <c r="C9" s="5" t="str">
        <f aca="false">ticket!C7</f>
        <v>2021-09-03 11:00:00</v>
      </c>
      <c r="D9" s="5" t="str">
        <f aca="false">ticket!D7</f>
        <v>wrqy-juv-978</v>
      </c>
      <c r="E9" s="5" t="n">
        <f aca="false">INT(B9)</f>
        <v>44441</v>
      </c>
      <c r="F9" s="5" t="n">
        <f aca="false">INT(C9)</f>
        <v>44442</v>
      </c>
      <c r="G9" s="6" t="str">
        <f aca="false">IF(E9=F9,"Yes","No")</f>
        <v>No</v>
      </c>
      <c r="H9" s="5" t="n">
        <f aca="false">HOUR(B9)</f>
        <v>10</v>
      </c>
      <c r="I9" s="5" t="n">
        <f aca="false">HOUR(C9)</f>
        <v>11</v>
      </c>
      <c r="J9" s="6" t="str">
        <f aca="false">IF(AND(E9=F9,H9=I9),"Yes","No")</f>
        <v>No</v>
      </c>
    </row>
    <row r="10" customFormat="false" ht="15" hidden="false" customHeight="false" outlineLevel="0" collapsed="false">
      <c r="A10" s="5" t="str">
        <f aca="false">ticket!A8</f>
        <v>lmn-vwx-345</v>
      </c>
      <c r="B10" s="5" t="str">
        <f aca="false">ticket!B8</f>
        <v>2021-09-02 15:00:00</v>
      </c>
      <c r="C10" s="5" t="str">
        <f aca="false">ticket!C8</f>
        <v>2021-09-02 15:50:00</v>
      </c>
      <c r="D10" s="5" t="str">
        <f aca="false">ticket!D8</f>
        <v>out-rt3-789</v>
      </c>
      <c r="E10" s="5" t="n">
        <f aca="false">INT(B10)</f>
        <v>44441</v>
      </c>
      <c r="F10" s="5" t="n">
        <f aca="false">INT(C10)</f>
        <v>44441</v>
      </c>
      <c r="G10" s="6" t="str">
        <f aca="false">IF(E10=F10,"Yes","No")</f>
        <v>Yes</v>
      </c>
      <c r="H10" s="5" t="n">
        <f aca="false">HOUR(B10)</f>
        <v>15</v>
      </c>
      <c r="I10" s="5" t="n">
        <f aca="false">HOUR(C10)</f>
        <v>15</v>
      </c>
      <c r="J10" s="6" t="str">
        <f aca="false">IF(AND(E10=F10,H10=I10),"Yes","No")</f>
        <v>Yes</v>
      </c>
    </row>
    <row r="11" customFormat="false" ht="15" hidden="false" customHeight="false" outlineLevel="0" collapsed="false">
      <c r="A11" s="5" t="str">
        <f aca="false">ticket!A9</f>
        <v>opq-yza-678</v>
      </c>
      <c r="B11" s="5" t="str">
        <f aca="false">ticket!B9</f>
        <v>2021-09-03 07:30:00</v>
      </c>
      <c r="C11" s="5" t="str">
        <f aca="false">ticket!C9</f>
        <v>2021-09-03 08:20:00</v>
      </c>
      <c r="D11" s="5" t="str">
        <f aca="false">ticket!D9</f>
        <v>wrqy-juv-978</v>
      </c>
      <c r="E11" s="5" t="n">
        <f aca="false">INT(B11)</f>
        <v>44442</v>
      </c>
      <c r="F11" s="5" t="n">
        <f aca="false">INT(C11)</f>
        <v>44442</v>
      </c>
      <c r="G11" s="6" t="str">
        <f aca="false">IF(E11=F11,"Yes","No")</f>
        <v>Yes</v>
      </c>
      <c r="H11" s="5" t="n">
        <f aca="false">HOUR(B11)</f>
        <v>7</v>
      </c>
      <c r="I11" s="5" t="n">
        <f aca="false">HOUR(C11)</f>
        <v>8</v>
      </c>
      <c r="J11" s="6" t="str">
        <f aca="false">IF(AND(E11=F11,H11=I11),"Yes","No")</f>
        <v>No</v>
      </c>
    </row>
    <row r="12" customFormat="false" ht="15" hidden="false" customHeight="false" outlineLevel="0" collapsed="false">
      <c r="A12" s="5" t="str">
        <f aca="false">ticket!A10</f>
        <v>rst-bcd-901</v>
      </c>
      <c r="B12" s="5" t="str">
        <f aca="false">ticket!B10</f>
        <v>2021-09-05 12:00:00</v>
      </c>
      <c r="C12" s="5" t="str">
        <f aca="false">ticket!C10</f>
        <v>2021-09-06 09:00:00</v>
      </c>
      <c r="D12" s="5" t="str">
        <f aca="false">ticket!D10</f>
        <v>8woh-k3u-23b</v>
      </c>
      <c r="E12" s="5" t="n">
        <f aca="false">INT(B12)</f>
        <v>44444</v>
      </c>
      <c r="F12" s="5" t="n">
        <f aca="false">INT(C12)</f>
        <v>44445</v>
      </c>
      <c r="G12" s="6" t="str">
        <f aca="false">IF(E12=F12,"Yes","No")</f>
        <v>No</v>
      </c>
      <c r="H12" s="5" t="n">
        <f aca="false">HOUR(B12)</f>
        <v>12</v>
      </c>
      <c r="I12" s="5" t="n">
        <f aca="false">HOUR(C12)</f>
        <v>9</v>
      </c>
      <c r="J12" s="6" t="str">
        <f aca="false">IF(AND(E12=F12,H12=I12),"Yes","No")</f>
        <v>No</v>
      </c>
    </row>
    <row r="13" customFormat="false" ht="15" hidden="false" customHeight="false" outlineLevel="0" collapsed="false">
      <c r="A13" s="5" t="str">
        <f aca="false">ticket!A11</f>
        <v>uvw-efg-234</v>
      </c>
      <c r="B13" s="5" t="str">
        <f aca="false">ticket!B11</f>
        <v>2021-09-05 16:00:00</v>
      </c>
      <c r="C13" s="5" t="str">
        <f aca="false">ticket!C11</f>
        <v>2021-09-05 16:55:00</v>
      </c>
      <c r="D13" s="5" t="str">
        <f aca="false">ticket!D11</f>
        <v>out-rt3-789</v>
      </c>
      <c r="E13" s="5" t="n">
        <f aca="false">INT(B13)</f>
        <v>44444</v>
      </c>
      <c r="F13" s="5" t="n">
        <f aca="false">INT(C13)</f>
        <v>44444</v>
      </c>
      <c r="G13" s="6" t="str">
        <f aca="false">IF(E13=F13,"Yes","No")</f>
        <v>Yes</v>
      </c>
      <c r="H13" s="5" t="n">
        <f aca="false">HOUR(B13)</f>
        <v>16</v>
      </c>
      <c r="I13" s="5" t="n">
        <f aca="false">HOUR(C13)</f>
        <v>16</v>
      </c>
      <c r="J13" s="6" t="str">
        <f aca="false">IF(AND(E13=F13,H13=I13),"Yes","No")</f>
        <v>Yes</v>
      </c>
    </row>
    <row r="16" customFormat="false" ht="15" hidden="false" customHeight="false" outlineLevel="0" collapsed="false">
      <c r="A16" s="7" t="s">
        <v>68</v>
      </c>
    </row>
    <row r="17" customFormat="false" ht="15" hidden="false" customHeight="false" outlineLevel="0" collapsed="false">
      <c r="A17" s="1" t="s">
        <v>3</v>
      </c>
      <c r="B17" s="1" t="s">
        <v>69</v>
      </c>
      <c r="C17" s="1" t="s">
        <v>70</v>
      </c>
    </row>
    <row r="18" customFormat="false" ht="15" hidden="false" customHeight="false" outlineLevel="0" collapsed="false">
      <c r="A18" s="5" t="s">
        <v>8</v>
      </c>
      <c r="B18" s="6" t="n">
        <f aca="false">COUNTIFS($D$4:$D$13,A18,$G$4:$G$13,"Yes")</f>
        <v>2</v>
      </c>
      <c r="C18" s="6" t="n">
        <f aca="false">COUNTIFS($D$4:$D$13,A18,$J$4:$J$13,"Yes")</f>
        <v>1</v>
      </c>
    </row>
    <row r="19" customFormat="false" ht="15" hidden="false" customHeight="false" outlineLevel="0" collapsed="false">
      <c r="A19" s="5" t="s">
        <v>13</v>
      </c>
      <c r="B19" s="6" t="n">
        <f aca="false">COUNTIFS($D$4:$D$13,A19,$G$4:$G$13,"Yes")</f>
        <v>2</v>
      </c>
      <c r="C19" s="6" t="n">
        <f aca="false">COUNTIFS($D$4:$D$13,A19,$J$4:$J$13,"Yes")</f>
        <v>1</v>
      </c>
    </row>
    <row r="20" customFormat="false" ht="15" hidden="false" customHeight="false" outlineLevel="0" collapsed="false">
      <c r="A20" s="5" t="s">
        <v>22</v>
      </c>
      <c r="B20" s="6" t="n">
        <f aca="false">COUNTIFS($D$4:$D$13,A20,$G$4:$G$13,"Yes")</f>
        <v>2</v>
      </c>
      <c r="C20" s="6" t="n">
        <f aca="false">COUNTIFS($D$4:$D$13,A20,$J$4:$J$13,"Yes")</f>
        <v>2</v>
      </c>
    </row>
    <row r="22" customFormat="false" ht="49.5" hidden="false" customHeight="true" outlineLevel="0" collapsed="false">
      <c r="A22" s="8" t="s">
        <v>71</v>
      </c>
      <c r="B22" s="8"/>
      <c r="C22" s="8"/>
      <c r="D22" s="8"/>
      <c r="E22" s="8"/>
      <c r="F22" s="8"/>
      <c r="G22" s="8"/>
      <c r="H22" s="8"/>
      <c r="I22" s="8"/>
      <c r="J22" s="8"/>
    </row>
  </sheetData>
  <mergeCells count="2">
    <mergeCell ref="A1:H1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2026-04-08T16:12:12Z</dcterms:created>
  <dc:creator>openpyxl</dc:creator>
  <dc:description/>
  <dc:language>en-US</dc:language>
  <cp:lastModifiedBy/>
  <dcterms:modified xsi:type="dcterms:W3CDTF">2026-04-08T16:12:12Z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